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Feuil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O16" sqref="O16"/>
    </sheetView>
  </sheetViews>
  <sheetFormatPr baseColWidth="10" defaultRowHeight="14.4"/>
  <sheetData>
    <row r="1">
      <c r="A1" s="1" t="inlineStr">
        <is>
          <t>DOW</t>
        </is>
      </c>
      <c r="B1" s="2" t="n">
        <v>28050</v>
      </c>
    </row>
    <row r="2">
      <c r="A2" s="1" t="inlineStr">
        <is>
          <t>Idow</t>
        </is>
      </c>
      <c r="B2" s="2" t="n">
        <v>58.1</v>
      </c>
    </row>
    <row r="4">
      <c r="A4" s="2" t="n"/>
      <c r="B4" s="3" t="inlineStr">
        <is>
          <t>MASSES</t>
        </is>
      </c>
      <c r="C4" s="3" t="inlineStr">
        <is>
          <t>VARIATION INDEX</t>
        </is>
      </c>
    </row>
    <row r="5">
      <c r="A5" s="4" t="inlineStr">
        <is>
          <t>soute1</t>
        </is>
      </c>
      <c r="B5" s="2" t="n">
        <v>2180</v>
      </c>
      <c r="C5" s="2">
        <f>(B5*-10.38)/1000</f>
        <v/>
      </c>
    </row>
    <row r="6">
      <c r="A6" s="4" t="inlineStr">
        <is>
          <t>soute4</t>
        </is>
      </c>
      <c r="B6" s="2" t="n">
        <v>700</v>
      </c>
      <c r="C6" s="2">
        <f>(B6*10.13)/1000</f>
        <v/>
      </c>
    </row>
    <row r="7">
      <c r="A7" s="4" t="inlineStr">
        <is>
          <t>OA</t>
        </is>
      </c>
      <c r="B7" s="2" t="n">
        <v>23</v>
      </c>
      <c r="C7" s="2">
        <f>(B7*-8.11)/10</f>
        <v/>
      </c>
    </row>
    <row r="8">
      <c r="A8" s="4" t="inlineStr">
        <is>
          <t>OB</t>
        </is>
      </c>
      <c r="B8" s="2" t="n">
        <v>48</v>
      </c>
      <c r="C8" s="2">
        <f>0</f>
        <v/>
      </c>
    </row>
    <row r="9">
      <c r="A9" s="4" t="inlineStr">
        <is>
          <t>OC</t>
        </is>
      </c>
      <c r="B9" s="2" t="n">
        <v>24</v>
      </c>
      <c r="C9" s="2">
        <f>(B9*8.38)/10</f>
        <v/>
      </c>
    </row>
    <row r="10">
      <c r="A10" s="2" t="n"/>
      <c r="B10" s="2" t="n">
        <v>35</v>
      </c>
      <c r="C10" s="2" t="n"/>
    </row>
    <row r="13">
      <c r="A13" s="5" t="inlineStr">
        <is>
          <t>ZFW</t>
        </is>
      </c>
      <c r="B13" s="2">
        <f>B1+95*75+2850</f>
        <v/>
      </c>
      <c r="C13" s="5" t="inlineStr">
        <is>
          <t>tof</t>
        </is>
      </c>
      <c r="D13" s="2" t="n">
        <v>14000</v>
      </c>
      <c r="E13" s="5" t="inlineStr">
        <is>
          <t>itof</t>
        </is>
      </c>
      <c r="F13" s="2" t="n">
        <v>-6.5</v>
      </c>
      <c r="G13" s="5" t="inlineStr">
        <is>
          <t>tow</t>
        </is>
      </c>
      <c r="H13" s="2">
        <f>B13+D13</f>
        <v/>
      </c>
      <c r="I13" s="5" t="inlineStr">
        <is>
          <t>i to</t>
        </is>
      </c>
      <c r="J13" s="2">
        <f>B14+F13</f>
        <v/>
      </c>
    </row>
    <row r="14">
      <c r="A14" s="5" t="inlineStr">
        <is>
          <t>Izf</t>
        </is>
      </c>
      <c r="B14" s="2">
        <f>C5+C6+C7+C8+C9+B2</f>
        <v/>
      </c>
      <c r="C14" s="5" t="inlineStr">
        <is>
          <t>tf</t>
        </is>
      </c>
      <c r="D14" s="2" t="n">
        <v>5000</v>
      </c>
      <c r="E14" s="5" t="inlineStr">
        <is>
          <t>itf</t>
        </is>
      </c>
      <c r="F14" s="2" t="n">
        <v>-4.4</v>
      </c>
      <c r="G14" s="5" t="inlineStr">
        <is>
          <t>lw</t>
        </is>
      </c>
      <c r="H14" s="2">
        <f>H13-D14</f>
        <v/>
      </c>
      <c r="I14" s="5" t="inlineStr">
        <is>
          <t>i lan</t>
        </is>
      </c>
      <c r="J14" s="2">
        <f>B14+F14</f>
        <v/>
      </c>
    </row>
    <row r="15">
      <c r="D15" t="n">
        <v>5000</v>
      </c>
    </row>
    <row r="17">
      <c r="E17" s="6" t="inlineStr">
        <is>
          <t>CG%zfw</t>
        </is>
      </c>
      <c r="F17" s="2">
        <f>(100/3.4163)*(508*((B14-25)/B13)+16.256-15.8902)</f>
        <v/>
      </c>
    </row>
    <row r="18">
      <c r="E18" s="6" t="inlineStr">
        <is>
          <t>CG%TOW</t>
        </is>
      </c>
      <c r="F18" s="2">
        <f>(100/3.4163)*(508*((J13-25)/H13)+16.256-15.8902)</f>
        <v/>
      </c>
    </row>
    <row r="19">
      <c r="E19" s="6" t="inlineStr">
        <is>
          <t>CG%LAN</t>
        </is>
      </c>
      <c r="F19" s="2">
        <f>(100/3.4163)*(508*((J14-25)/H14)+16.256-15.8902)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MIMI-INFO</dc:creator>
  <dcterms:created xsi:type="dcterms:W3CDTF">2026-08-05T00:23:40Z</dcterms:created>
  <dcterms:modified xsi:type="dcterms:W3CDTF">2026-08-09T11:26:28Z</dcterms:modified>
  <cp:lastModifiedBy>MIMI-INFO</cp:lastModifiedBy>
</cp:coreProperties>
</file>